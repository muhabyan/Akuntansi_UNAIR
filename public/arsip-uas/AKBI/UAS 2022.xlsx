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4c981263807bf/Documents/DEVI PUTRI AMELIA/UNIVERSITAS AIRLANGGA/SEMESTER 2/AKBI/UAS/"/>
    </mc:Choice>
  </mc:AlternateContent>
  <xr:revisionPtr revIDLastSave="513" documentId="8_{2210EF5B-9052-494B-B688-A8221FE6186F}" xr6:coauthVersionLast="47" xr6:coauthVersionMax="47" xr10:uidLastSave="{56055D42-5415-4298-B0BB-7CB72766AB02}"/>
  <bookViews>
    <workbookView xWindow="-90" yWindow="0" windowWidth="9780" windowHeight="10170" xr2:uid="{552EA988-6D34-4564-9D7F-D2806A619982}"/>
  </bookViews>
  <sheets>
    <sheet name="1" sheetId="1" r:id="rId1"/>
    <sheet name="2" sheetId="2" r:id="rId2"/>
    <sheet name="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13" i="1"/>
  <c r="E14" i="1"/>
  <c r="G14" i="1" s="1"/>
  <c r="E15" i="1"/>
  <c r="G15" i="1" s="1"/>
  <c r="E16" i="1"/>
  <c r="G16" i="1" s="1"/>
  <c r="E13" i="1"/>
  <c r="G13" i="1" s="1"/>
  <c r="B17" i="1"/>
  <c r="D31" i="4"/>
  <c r="D30" i="4"/>
  <c r="D27" i="4"/>
  <c r="D28" i="4"/>
  <c r="D29" i="4"/>
  <c r="G56" i="2"/>
  <c r="G55" i="2"/>
  <c r="F54" i="2"/>
  <c r="F53" i="2"/>
  <c r="F52" i="2"/>
  <c r="D26" i="4" l="1"/>
  <c r="C25" i="4"/>
  <c r="B25" i="4"/>
  <c r="D25" i="4" s="1"/>
  <c r="D22" i="4"/>
  <c r="C30" i="4" s="1"/>
  <c r="D21" i="4"/>
  <c r="C29" i="4" s="1"/>
  <c r="D20" i="4"/>
  <c r="C28" i="4" s="1"/>
  <c r="D11" i="4"/>
  <c r="C10" i="4"/>
  <c r="B10" i="4"/>
  <c r="B7" i="4"/>
  <c r="F3" i="4" s="1"/>
  <c r="G3" i="4" s="1"/>
  <c r="C12" i="4" s="1"/>
  <c r="D10" i="4" l="1"/>
  <c r="B12" i="4"/>
  <c r="B13" i="4" s="1"/>
  <c r="B15" i="4" s="1"/>
  <c r="B29" i="4"/>
  <c r="B30" i="4"/>
  <c r="C13" i="4"/>
  <c r="C15" i="4" s="1"/>
  <c r="C31" i="4"/>
  <c r="C33" i="4" s="1"/>
  <c r="D12" i="4"/>
  <c r="D13" i="4" s="1"/>
  <c r="B28" i="4"/>
  <c r="B31" i="4" s="1"/>
  <c r="B33" i="4" s="1"/>
  <c r="F51" i="2" l="1"/>
  <c r="C68" i="2" s="1"/>
  <c r="G51" i="2"/>
  <c r="G16" i="2"/>
  <c r="G19" i="2" s="1"/>
  <c r="C30" i="2" s="1"/>
  <c r="D30" i="2" s="1"/>
  <c r="F16" i="2"/>
  <c r="F18" i="2" s="1"/>
  <c r="C28" i="2" s="1"/>
  <c r="E28" i="2" s="1"/>
  <c r="C64" i="2" l="1"/>
  <c r="E64" i="2" s="1"/>
  <c r="C65" i="2"/>
  <c r="G65" i="2" s="1"/>
  <c r="H66" i="2" s="1"/>
  <c r="C67" i="2"/>
  <c r="C63" i="2"/>
  <c r="D63" i="2" s="1"/>
  <c r="G20" i="2"/>
  <c r="C31" i="2" s="1"/>
  <c r="E31" i="2" s="1"/>
  <c r="E32" i="2" s="1"/>
  <c r="F17" i="2"/>
  <c r="C27" i="2" s="1"/>
  <c r="D27" i="2" s="1"/>
  <c r="F17" i="1"/>
  <c r="D17" i="1"/>
  <c r="C17" i="1"/>
  <c r="D5" i="1"/>
  <c r="D6" i="1"/>
  <c r="D7" i="1"/>
  <c r="D4" i="1"/>
  <c r="C8" i="1"/>
  <c r="B8" i="1"/>
  <c r="E17" i="1" l="1"/>
  <c r="G17" i="1"/>
  <c r="F65" i="2"/>
  <c r="F69" i="2" s="1"/>
  <c r="E68" i="2"/>
  <c r="E69" i="2" s="1"/>
  <c r="D67" i="2"/>
  <c r="G31" i="2"/>
  <c r="G32" i="2" s="1"/>
  <c r="D32" i="2"/>
  <c r="F28" i="2"/>
  <c r="F32" i="2" s="1"/>
  <c r="D8" i="1"/>
  <c r="E7" i="1" s="1"/>
  <c r="F7" i="1" s="1"/>
  <c r="G7" i="1" s="1"/>
  <c r="E4" i="1"/>
  <c r="H16" i="1" l="1"/>
  <c r="I16" i="1" s="1"/>
  <c r="J16" i="1" s="1"/>
  <c r="K16" i="1" s="1"/>
  <c r="H15" i="1"/>
  <c r="I15" i="1" s="1"/>
  <c r="J15" i="1" s="1"/>
  <c r="K15" i="1" s="1"/>
  <c r="H13" i="1"/>
  <c r="I13" i="1" s="1"/>
  <c r="J13" i="1" s="1"/>
  <c r="H14" i="1"/>
  <c r="I14" i="1" s="1"/>
  <c r="J14" i="1" s="1"/>
  <c r="K14" i="1" s="1"/>
  <c r="E5" i="1"/>
  <c r="F5" i="1" s="1"/>
  <c r="G5" i="1" s="1"/>
  <c r="E6" i="1"/>
  <c r="F6" i="1" s="1"/>
  <c r="G6" i="1" s="1"/>
  <c r="G68" i="2"/>
  <c r="G69" i="2" s="1"/>
  <c r="D69" i="2"/>
  <c r="F4" i="1"/>
  <c r="J17" i="1" l="1"/>
  <c r="K13" i="1"/>
  <c r="H17" i="1"/>
  <c r="I17" i="1"/>
  <c r="E8" i="1"/>
  <c r="G4" i="1"/>
  <c r="F8" i="1"/>
</calcChain>
</file>

<file path=xl/sharedStrings.xml><?xml version="1.0" encoding="utf-8"?>
<sst xmlns="http://schemas.openxmlformats.org/spreadsheetml/2006/main" count="151" uniqueCount="66">
  <si>
    <t>J</t>
  </si>
  <si>
    <t>K</t>
  </si>
  <si>
    <t>L</t>
  </si>
  <si>
    <t>M</t>
  </si>
  <si>
    <t>Total</t>
  </si>
  <si>
    <t>Jenis Produk</t>
  </si>
  <si>
    <t>Kuantitas</t>
  </si>
  <si>
    <t>Alokasi Kos Bersama</t>
  </si>
  <si>
    <t>Kos Produksi Produk Bersama</t>
  </si>
  <si>
    <t xml:space="preserve">J </t>
  </si>
  <si>
    <t>METODE HARGA PASAR HIPOTESIS</t>
  </si>
  <si>
    <t>Harga Pasar</t>
  </si>
  <si>
    <t>Nilai Pasar</t>
  </si>
  <si>
    <t>Nilai Pasar Relatif</t>
  </si>
  <si>
    <t>Harga Pasar per Unit</t>
  </si>
  <si>
    <t>Nilai Pasar Hipotesis</t>
  </si>
  <si>
    <t>Nilai Pasar Hipotesis Relatif</t>
  </si>
  <si>
    <t>METODE HARGA PASAR RELATIF</t>
  </si>
  <si>
    <t>METODE LANGSUNG</t>
  </si>
  <si>
    <t>Departemen Produksi</t>
  </si>
  <si>
    <t>Departemen Jasa</t>
  </si>
  <si>
    <t>I</t>
  </si>
  <si>
    <t>II</t>
  </si>
  <si>
    <t>Pemeliharaan</t>
  </si>
  <si>
    <t>Rekayasa</t>
  </si>
  <si>
    <t>Cost before distribution</t>
  </si>
  <si>
    <t>Normal Activity</t>
  </si>
  <si>
    <t xml:space="preserve">Jam Pemeliharaan </t>
  </si>
  <si>
    <t>Jam Rekayasa</t>
  </si>
  <si>
    <t>Rasio/persentase alokasi dari departemen jasa ke departemen produksi</t>
  </si>
  <si>
    <t>Pemeliharaan --&gt; II</t>
  </si>
  <si>
    <t>Pemeliharaan --&gt; I</t>
  </si>
  <si>
    <t>Rekayasa --&gt; II</t>
  </si>
  <si>
    <t>Rekayasa --&gt; I</t>
  </si>
  <si>
    <t>Tabel alokasi biaya dari departemen jasa ke departemen produksi</t>
  </si>
  <si>
    <t>%</t>
  </si>
  <si>
    <t>Departemen Pemeliharaan</t>
  </si>
  <si>
    <t>Departemen I</t>
  </si>
  <si>
    <t>Departemen II</t>
  </si>
  <si>
    <t>Departemen Rekayasa</t>
  </si>
  <si>
    <t>Cost after distribution</t>
  </si>
  <si>
    <t>METODE SEKUENSIAL</t>
  </si>
  <si>
    <t>Kos Setup</t>
  </si>
  <si>
    <t>Kos Desain</t>
  </si>
  <si>
    <t>Kos Lain-Lain</t>
  </si>
  <si>
    <t>Kos Overhead</t>
  </si>
  <si>
    <t>Total Kos Overhead</t>
  </si>
  <si>
    <t>Tarif Overhead</t>
  </si>
  <si>
    <t>Total Jam Mesin</t>
  </si>
  <si>
    <t>=</t>
  </si>
  <si>
    <t>Keterangan</t>
  </si>
  <si>
    <t>Nifty</t>
  </si>
  <si>
    <t>So-So</t>
  </si>
  <si>
    <t>Kos Bahan Baku Langsung</t>
  </si>
  <si>
    <t>Kos Tenaga Kerja Langsung</t>
  </si>
  <si>
    <t>Total Cost</t>
  </si>
  <si>
    <t>Unit Produced</t>
  </si>
  <si>
    <t>Cost Per Unit</t>
  </si>
  <si>
    <t>Dasar Pembebanan</t>
  </si>
  <si>
    <t>Hitung Kos per Unit Menggunakan Sistem Tradisional</t>
  </si>
  <si>
    <t>Hitung Kos per Unit Menggunakan Sistem ABC</t>
  </si>
  <si>
    <t>Rekayasa --&gt; Pemeliharaan</t>
  </si>
  <si>
    <t>Kos Tambahan per Unit</t>
  </si>
  <si>
    <t>Total Harga Pasar</t>
  </si>
  <si>
    <t>Total Kos Tambahan</t>
  </si>
  <si>
    <t>Alokasi Kos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</si>
</sst>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_-[$Rp-421]* #,##0.00_-;\-[$Rp-421]* #,##0.00_-;_-[$Rp-421]* &quot;-&quot;??_-;_-@_-"/>
    <numFmt numFmtId="166" formatCode="_-[$Rp-421]* #,##0.00_-;\-[$Rp-421]* #,##0.00_-;_-[$Rp-421]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7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7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0" xfId="0" applyFont="1" applyFill="1"/>
    <xf numFmtId="0" fontId="0" fillId="0" borderId="2" xfId="0" applyBorder="1"/>
    <xf numFmtId="164" fontId="0" fillId="0" borderId="2" xfId="0" applyNumberFormat="1" applyBorder="1"/>
    <xf numFmtId="0" fontId="2" fillId="0" borderId="0" xfId="0" applyFont="1"/>
    <xf numFmtId="164" fontId="2" fillId="0" borderId="0" xfId="0" applyNumberFormat="1" applyFont="1"/>
    <xf numFmtId="0" fontId="2" fillId="8" borderId="1" xfId="0" applyFont="1" applyFill="1" applyBorder="1" applyAlignment="1">
      <alignment horizontal="center"/>
    </xf>
    <xf numFmtId="0" fontId="0" fillId="0" borderId="11" xfId="0" applyBorder="1"/>
    <xf numFmtId="164" fontId="0" fillId="0" borderId="11" xfId="0" applyNumberFormat="1" applyBorder="1"/>
    <xf numFmtId="0" fontId="0" fillId="0" borderId="10" xfId="0" applyBorder="1"/>
    <xf numFmtId="164" fontId="0" fillId="0" borderId="10" xfId="0" applyNumberFormat="1" applyBorder="1"/>
    <xf numFmtId="0" fontId="2" fillId="2" borderId="12" xfId="0" applyFont="1" applyFill="1" applyBorder="1"/>
    <xf numFmtId="164" fontId="2" fillId="2" borderId="12" xfId="0" applyNumberFormat="1" applyFont="1" applyFill="1" applyBorder="1"/>
    <xf numFmtId="164" fontId="0" fillId="2" borderId="12" xfId="0" applyNumberFormat="1" applyFill="1" applyBorder="1"/>
    <xf numFmtId="166" fontId="2" fillId="2" borderId="12" xfId="0" applyNumberFormat="1" applyFont="1" applyFill="1" applyBorder="1"/>
    <xf numFmtId="0" fontId="0" fillId="0" borderId="1" xfId="0" applyBorder="1" applyAlignment="1">
      <alignment horizontal="left" indent="9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 indent="9"/>
    </xf>
    <xf numFmtId="0" fontId="2" fillId="2" borderId="13" xfId="0" applyFont="1" applyFill="1" applyBorder="1"/>
    <xf numFmtId="164" fontId="2" fillId="2" borderId="13" xfId="0" applyNumberFormat="1" applyFont="1" applyFill="1" applyBorder="1"/>
    <xf numFmtId="165" fontId="2" fillId="2" borderId="13" xfId="0" applyNumberFormat="1" applyFont="1" applyFill="1" applyBorder="1"/>
    <xf numFmtId="37" fontId="0" fillId="0" borderId="10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4" borderId="0" xfId="0" applyFont="1" applyFill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6334-4C30-47D1-AD2C-3AF757B42788}">
  <dimension ref="A2:K17"/>
  <sheetViews>
    <sheetView tabSelected="1" zoomScale="83" workbookViewId="0">
      <selection activeCell="A13" sqref="A13"/>
    </sheetView>
  </sheetViews>
  <sheetFormatPr defaultRowHeight="14.5" x14ac:dyDescent="0.35"/>
  <cols>
    <col min="2" max="2" width="12" customWidth="1"/>
    <col min="3" max="3" width="15.90625" customWidth="1"/>
    <col min="4" max="4" width="17.81640625" customWidth="1"/>
    <col min="5" max="5" width="19.1796875" customWidth="1"/>
    <col min="6" max="6" width="16.08984375" customWidth="1"/>
    <col min="7" max="7" width="16.7265625" customWidth="1"/>
    <col min="8" max="8" width="14.26953125" bestFit="1" customWidth="1"/>
    <col min="9" max="9" width="14.81640625" customWidth="1"/>
    <col min="10" max="10" width="16.7265625" customWidth="1"/>
    <col min="11" max="11" width="11.54296875" customWidth="1"/>
  </cols>
  <sheetData>
    <row r="2" spans="1:11" x14ac:dyDescent="0.35">
      <c r="A2" s="45" t="s">
        <v>17</v>
      </c>
      <c r="B2" s="45"/>
      <c r="C2" s="45"/>
      <c r="D2" s="45"/>
      <c r="E2" s="45"/>
      <c r="F2" s="45"/>
      <c r="G2" s="45"/>
    </row>
    <row r="3" spans="1:11" ht="36" customHeight="1" x14ac:dyDescent="0.35">
      <c r="A3" s="15" t="s">
        <v>5</v>
      </c>
      <c r="B3" s="15" t="s">
        <v>6</v>
      </c>
      <c r="C3" s="15" t="s">
        <v>11</v>
      </c>
      <c r="D3" s="15" t="s">
        <v>12</v>
      </c>
      <c r="E3" s="15" t="s">
        <v>13</v>
      </c>
      <c r="F3" s="15" t="s">
        <v>7</v>
      </c>
      <c r="G3" s="15" t="s">
        <v>8</v>
      </c>
    </row>
    <row r="4" spans="1:11" x14ac:dyDescent="0.35">
      <c r="A4" s="4" t="s">
        <v>0</v>
      </c>
      <c r="B4" s="5">
        <v>6000</v>
      </c>
      <c r="C4" s="6">
        <v>80000</v>
      </c>
      <c r="D4" s="6">
        <f>B4*C4</f>
        <v>480000000</v>
      </c>
      <c r="E4" s="7">
        <f>D4/D8</f>
        <v>0.48</v>
      </c>
      <c r="F4" s="6">
        <f>E4*160000000</f>
        <v>76800000</v>
      </c>
      <c r="G4" s="6">
        <f>F4/B4</f>
        <v>12800</v>
      </c>
      <c r="H4" s="1"/>
      <c r="I4" s="1"/>
      <c r="J4" s="1"/>
    </row>
    <row r="5" spans="1:11" x14ac:dyDescent="0.35">
      <c r="A5" s="4" t="s">
        <v>1</v>
      </c>
      <c r="B5" s="5">
        <v>5000</v>
      </c>
      <c r="C5" s="6">
        <v>60000</v>
      </c>
      <c r="D5" s="6">
        <f t="shared" ref="D5:D7" si="0">B5*C5</f>
        <v>300000000</v>
      </c>
      <c r="E5" s="8">
        <f>D5/D8</f>
        <v>0.3</v>
      </c>
      <c r="F5" s="6">
        <f>E5*160000000</f>
        <v>48000000</v>
      </c>
      <c r="G5" s="6">
        <f>F5/B5</f>
        <v>9600</v>
      </c>
      <c r="H5" s="1"/>
      <c r="I5" s="1"/>
      <c r="J5" s="1"/>
    </row>
    <row r="6" spans="1:11" x14ac:dyDescent="0.35">
      <c r="A6" s="4" t="s">
        <v>2</v>
      </c>
      <c r="B6" s="5">
        <v>4000</v>
      </c>
      <c r="C6" s="6">
        <v>40000</v>
      </c>
      <c r="D6" s="6">
        <f t="shared" si="0"/>
        <v>160000000</v>
      </c>
      <c r="E6" s="8">
        <f>D6/D8</f>
        <v>0.16</v>
      </c>
      <c r="F6" s="6">
        <f>E6*160000000</f>
        <v>25600000</v>
      </c>
      <c r="G6" s="6">
        <f>F6/B6</f>
        <v>6400</v>
      </c>
      <c r="H6" s="1"/>
      <c r="I6" s="1"/>
      <c r="J6" s="1"/>
    </row>
    <row r="7" spans="1:11" x14ac:dyDescent="0.35">
      <c r="A7" s="4" t="s">
        <v>3</v>
      </c>
      <c r="B7" s="5">
        <v>3000</v>
      </c>
      <c r="C7" s="6">
        <v>20000</v>
      </c>
      <c r="D7" s="6">
        <f t="shared" si="0"/>
        <v>60000000</v>
      </c>
      <c r="E7" s="8">
        <f>D7/D8</f>
        <v>0.06</v>
      </c>
      <c r="F7" s="6">
        <f>E7*160000000</f>
        <v>9600000</v>
      </c>
      <c r="G7" s="6">
        <f>F7/B7</f>
        <v>3200</v>
      </c>
      <c r="H7" s="1"/>
      <c r="I7" s="1"/>
      <c r="J7" s="1"/>
    </row>
    <row r="8" spans="1:11" x14ac:dyDescent="0.35">
      <c r="A8" s="11" t="s">
        <v>4</v>
      </c>
      <c r="B8" s="12">
        <f>SUM(B4:B7)</f>
        <v>18000</v>
      </c>
      <c r="C8" s="13">
        <f>SUM(C4:C7)</f>
        <v>200000</v>
      </c>
      <c r="D8" s="13">
        <f>SUM(D4:D7)</f>
        <v>1000000000</v>
      </c>
      <c r="E8" s="14">
        <f>SUM(E4:E7)</f>
        <v>1</v>
      </c>
      <c r="F8" s="13">
        <f>SUM(F4:F7)</f>
        <v>160000000</v>
      </c>
      <c r="G8" s="13"/>
      <c r="H8" s="1"/>
      <c r="I8" s="1"/>
      <c r="J8" s="1"/>
    </row>
    <row r="11" spans="1:11" x14ac:dyDescent="0.35">
      <c r="A11" s="44" t="s">
        <v>10</v>
      </c>
      <c r="B11" s="44"/>
      <c r="C11" s="44"/>
      <c r="D11" s="44"/>
      <c r="E11" s="44"/>
      <c r="F11" s="44"/>
      <c r="G11" s="44"/>
      <c r="H11" s="44"/>
      <c r="I11" s="44"/>
      <c r="J11" s="19"/>
    </row>
    <row r="12" spans="1:11" s="16" customFormat="1" ht="41.5" customHeight="1" x14ac:dyDescent="0.35">
      <c r="A12" s="15" t="s">
        <v>5</v>
      </c>
      <c r="B12" s="15" t="s">
        <v>6</v>
      </c>
      <c r="C12" s="15" t="s">
        <v>14</v>
      </c>
      <c r="D12" s="15" t="s">
        <v>62</v>
      </c>
      <c r="E12" s="15" t="s">
        <v>63</v>
      </c>
      <c r="F12" s="15" t="s">
        <v>64</v>
      </c>
      <c r="G12" s="15" t="s">
        <v>15</v>
      </c>
      <c r="H12" s="15" t="s">
        <v>16</v>
      </c>
      <c r="I12" s="15" t="s">
        <v>7</v>
      </c>
      <c r="J12" s="15" t="s">
        <v>65</v>
      </c>
      <c r="K12" s="15" t="s">
        <v>8</v>
      </c>
    </row>
    <row r="13" spans="1:11" x14ac:dyDescent="0.35">
      <c r="A13" s="4" t="s">
        <v>9</v>
      </c>
      <c r="B13" s="4">
        <v>6000</v>
      </c>
      <c r="C13" s="6">
        <v>90000</v>
      </c>
      <c r="D13" s="6">
        <v>7500</v>
      </c>
      <c r="E13" s="6">
        <f>B13*C13</f>
        <v>540000000</v>
      </c>
      <c r="F13" s="5">
        <f>B13*D13</f>
        <v>45000000</v>
      </c>
      <c r="G13" s="6">
        <f>E13-F13</f>
        <v>495000000</v>
      </c>
      <c r="H13" s="8">
        <f>G13/G17</f>
        <v>0.4576976421636616</v>
      </c>
      <c r="I13" s="6">
        <f>H13*160000000</f>
        <v>73231622.746185854</v>
      </c>
      <c r="J13" s="6">
        <f>I13+F13</f>
        <v>118231622.74618585</v>
      </c>
      <c r="K13" s="6">
        <f>J13/B13</f>
        <v>19705.270457697643</v>
      </c>
    </row>
    <row r="14" spans="1:11" x14ac:dyDescent="0.35">
      <c r="A14" s="4" t="s">
        <v>1</v>
      </c>
      <c r="B14" s="4">
        <v>5000</v>
      </c>
      <c r="C14" s="6">
        <v>70000</v>
      </c>
      <c r="D14" s="6">
        <v>6000</v>
      </c>
      <c r="E14" s="6">
        <f t="shared" ref="E14:E16" si="1">B14*C14</f>
        <v>350000000</v>
      </c>
      <c r="F14" s="5">
        <f t="shared" ref="F14:F16" si="2">B14*D14</f>
        <v>30000000</v>
      </c>
      <c r="G14" s="6">
        <f t="shared" ref="G14:G16" si="3">E14-F14</f>
        <v>320000000</v>
      </c>
      <c r="H14" s="8">
        <f>G14/G17</f>
        <v>0.29588534442903375</v>
      </c>
      <c r="I14" s="6">
        <f>H14*160000000</f>
        <v>47341655.108645402</v>
      </c>
      <c r="J14" s="6">
        <f t="shared" ref="J14:J16" si="4">I14+F14</f>
        <v>77341655.108645409</v>
      </c>
      <c r="K14" s="6">
        <f>J14/B14</f>
        <v>15468.331021729082</v>
      </c>
    </row>
    <row r="15" spans="1:11" x14ac:dyDescent="0.35">
      <c r="A15" s="4" t="s">
        <v>2</v>
      </c>
      <c r="B15" s="4">
        <v>4000</v>
      </c>
      <c r="C15" s="6">
        <v>50000</v>
      </c>
      <c r="D15" s="6">
        <v>4000</v>
      </c>
      <c r="E15" s="6">
        <f t="shared" si="1"/>
        <v>200000000</v>
      </c>
      <c r="F15" s="5">
        <f t="shared" si="2"/>
        <v>16000000</v>
      </c>
      <c r="G15" s="6">
        <f t="shared" si="3"/>
        <v>184000000</v>
      </c>
      <c r="H15" s="8">
        <f>G15/G17</f>
        <v>0.1701340730466944</v>
      </c>
      <c r="I15" s="6">
        <f>H15*160000000</f>
        <v>27221451.687471103</v>
      </c>
      <c r="J15" s="6">
        <f t="shared" si="4"/>
        <v>43221451.687471107</v>
      </c>
      <c r="K15" s="6">
        <f>J15/B15</f>
        <v>10805.362921867776</v>
      </c>
    </row>
    <row r="16" spans="1:11" x14ac:dyDescent="0.35">
      <c r="A16" s="4" t="s">
        <v>3</v>
      </c>
      <c r="B16" s="4">
        <v>3000</v>
      </c>
      <c r="C16" s="6">
        <v>30000</v>
      </c>
      <c r="D16" s="6">
        <v>2500</v>
      </c>
      <c r="E16" s="6">
        <f t="shared" si="1"/>
        <v>90000000</v>
      </c>
      <c r="F16" s="5">
        <f t="shared" si="2"/>
        <v>7500000</v>
      </c>
      <c r="G16" s="6">
        <f t="shared" si="3"/>
        <v>82500000</v>
      </c>
      <c r="H16" s="8">
        <f>G16/G17</f>
        <v>7.6282940360610257E-2</v>
      </c>
      <c r="I16" s="6">
        <f>H16*160000000</f>
        <v>12205270.457697641</v>
      </c>
      <c r="J16" s="6">
        <f t="shared" si="4"/>
        <v>19705270.457697641</v>
      </c>
      <c r="K16" s="6">
        <f>J16/B16</f>
        <v>6568.423485899214</v>
      </c>
    </row>
    <row r="17" spans="1:11" x14ac:dyDescent="0.35">
      <c r="A17" s="11" t="s">
        <v>4</v>
      </c>
      <c r="B17" s="11">
        <f>SUM(B13:B16)</f>
        <v>18000</v>
      </c>
      <c r="C17" s="13">
        <f t="shared" ref="C17:I17" si="5">SUM(C13:C16)</f>
        <v>240000</v>
      </c>
      <c r="D17" s="13">
        <f t="shared" si="5"/>
        <v>20000</v>
      </c>
      <c r="E17" s="13">
        <f t="shared" si="5"/>
        <v>1180000000</v>
      </c>
      <c r="F17" s="12">
        <f t="shared" si="5"/>
        <v>98500000</v>
      </c>
      <c r="G17" s="13">
        <f t="shared" si="5"/>
        <v>1081500000</v>
      </c>
      <c r="H17" s="17">
        <f t="shared" si="5"/>
        <v>0.99999999999999989</v>
      </c>
      <c r="I17" s="13">
        <f t="shared" si="5"/>
        <v>159999999.99999997</v>
      </c>
      <c r="J17" s="13">
        <f>SUM(J13:J16)</f>
        <v>258500000</v>
      </c>
      <c r="K17" s="13"/>
    </row>
  </sheetData>
  <mergeCells count="2">
    <mergeCell ref="A11:I1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6237-4CD8-42A3-8142-47280F8D86DE}">
  <dimension ref="A2:H69"/>
  <sheetViews>
    <sheetView topLeftCell="B1" zoomScale="75" workbookViewId="0">
      <selection activeCell="G69" sqref="G69"/>
    </sheetView>
  </sheetViews>
  <sheetFormatPr defaultRowHeight="14.5" x14ac:dyDescent="0.35"/>
  <cols>
    <col min="2" max="2" width="18" customWidth="1"/>
    <col min="4" max="4" width="16.7265625" customWidth="1"/>
    <col min="5" max="5" width="24.6328125" customWidth="1"/>
    <col min="6" max="7" width="13.1796875" customWidth="1"/>
    <col min="8" max="8" width="14.08984375" customWidth="1"/>
  </cols>
  <sheetData>
    <row r="2" spans="1:7" x14ac:dyDescent="0.35">
      <c r="A2" s="64" t="s">
        <v>18</v>
      </c>
      <c r="B2" s="64"/>
      <c r="C2" s="64"/>
      <c r="D2" s="64"/>
      <c r="E2" s="64"/>
      <c r="F2" s="64"/>
      <c r="G2" s="64"/>
    </row>
    <row r="3" spans="1:7" x14ac:dyDescent="0.35">
      <c r="A3" s="54"/>
      <c r="B3" s="65"/>
      <c r="C3" s="55"/>
      <c r="D3" s="61" t="s">
        <v>19</v>
      </c>
      <c r="E3" s="61"/>
      <c r="F3" s="61" t="s">
        <v>20</v>
      </c>
      <c r="G3" s="61"/>
    </row>
    <row r="4" spans="1:7" x14ac:dyDescent="0.35">
      <c r="A4" s="56"/>
      <c r="B4" s="66"/>
      <c r="C4" s="57"/>
      <c r="D4" s="9" t="s">
        <v>21</v>
      </c>
      <c r="E4" s="9" t="s">
        <v>22</v>
      </c>
      <c r="F4" s="9" t="s">
        <v>23</v>
      </c>
      <c r="G4" s="9" t="s">
        <v>24</v>
      </c>
    </row>
    <row r="5" spans="1:7" x14ac:dyDescent="0.35">
      <c r="A5" s="47" t="s">
        <v>25</v>
      </c>
      <c r="B5" s="47"/>
      <c r="C5" s="47"/>
      <c r="D5" s="3">
        <v>80000</v>
      </c>
      <c r="E5" s="3">
        <v>90000</v>
      </c>
      <c r="F5" s="3">
        <v>12000</v>
      </c>
      <c r="G5" s="3">
        <v>54000</v>
      </c>
    </row>
    <row r="6" spans="1:7" x14ac:dyDescent="0.35">
      <c r="A6" s="47" t="s">
        <v>26</v>
      </c>
      <c r="B6" s="47"/>
      <c r="C6" s="47"/>
      <c r="D6" s="2"/>
      <c r="E6" s="2"/>
      <c r="F6" s="2"/>
      <c r="G6" s="2"/>
    </row>
    <row r="7" spans="1:7" x14ac:dyDescent="0.35">
      <c r="A7" s="47" t="s">
        <v>27</v>
      </c>
      <c r="B7" s="47"/>
      <c r="C7" s="47"/>
      <c r="D7" s="2">
        <v>800</v>
      </c>
      <c r="E7" s="2">
        <v>200</v>
      </c>
      <c r="F7" s="2">
        <v>0</v>
      </c>
      <c r="G7" s="2">
        <v>400</v>
      </c>
    </row>
    <row r="8" spans="1:7" x14ac:dyDescent="0.35">
      <c r="A8" s="47" t="s">
        <v>28</v>
      </c>
      <c r="B8" s="47"/>
      <c r="C8" s="47"/>
      <c r="D8" s="2">
        <v>800</v>
      </c>
      <c r="E8" s="2">
        <v>400</v>
      </c>
      <c r="F8" s="2">
        <v>400</v>
      </c>
      <c r="G8" s="2">
        <v>0</v>
      </c>
    </row>
    <row r="10" spans="1:7" x14ac:dyDescent="0.35">
      <c r="A10" s="62" t="s">
        <v>29</v>
      </c>
      <c r="B10" s="62"/>
      <c r="C10" s="62"/>
      <c r="D10" s="62"/>
      <c r="E10" s="62"/>
      <c r="F10" s="62"/>
      <c r="G10" s="62"/>
    </row>
    <row r="12" spans="1:7" x14ac:dyDescent="0.35">
      <c r="D12" s="18"/>
      <c r="E12" s="18"/>
      <c r="F12" s="63" t="s">
        <v>20</v>
      </c>
      <c r="G12" s="63"/>
    </row>
    <row r="13" spans="1:7" x14ac:dyDescent="0.35">
      <c r="D13" s="18"/>
      <c r="E13" s="18"/>
      <c r="F13" s="19" t="s">
        <v>23</v>
      </c>
      <c r="G13" s="19" t="s">
        <v>24</v>
      </c>
    </row>
    <row r="14" spans="1:7" x14ac:dyDescent="0.35">
      <c r="D14" s="52" t="s">
        <v>19</v>
      </c>
      <c r="E14" s="19" t="s">
        <v>21</v>
      </c>
      <c r="F14" s="18">
        <v>800</v>
      </c>
      <c r="G14" s="18">
        <v>800</v>
      </c>
    </row>
    <row r="15" spans="1:7" x14ac:dyDescent="0.35">
      <c r="D15" s="52"/>
      <c r="E15" s="19" t="s">
        <v>22</v>
      </c>
      <c r="F15" s="18">
        <v>200</v>
      </c>
      <c r="G15" s="18">
        <v>400</v>
      </c>
    </row>
    <row r="16" spans="1:7" x14ac:dyDescent="0.35">
      <c r="D16" s="18"/>
      <c r="E16" s="18"/>
      <c r="F16" s="18">
        <f>SUM(F14:F15)</f>
        <v>1000</v>
      </c>
      <c r="G16" s="18">
        <f>SUM(G14:G15)</f>
        <v>1200</v>
      </c>
    </row>
    <row r="17" spans="1:7" x14ac:dyDescent="0.35">
      <c r="D17" s="18"/>
      <c r="E17" s="20" t="s">
        <v>31</v>
      </c>
      <c r="F17" s="7">
        <f>F14/F16</f>
        <v>0.8</v>
      </c>
      <c r="G17" s="7"/>
    </row>
    <row r="18" spans="1:7" x14ac:dyDescent="0.35">
      <c r="D18" s="18"/>
      <c r="E18" s="20" t="s">
        <v>30</v>
      </c>
      <c r="F18" s="7">
        <f>F15/F16</f>
        <v>0.2</v>
      </c>
      <c r="G18" s="7"/>
    </row>
    <row r="19" spans="1:7" x14ac:dyDescent="0.35">
      <c r="D19" s="18"/>
      <c r="E19" s="21" t="s">
        <v>33</v>
      </c>
      <c r="F19" s="7"/>
      <c r="G19" s="7">
        <f>G14/G16</f>
        <v>0.66666666666666663</v>
      </c>
    </row>
    <row r="20" spans="1:7" x14ac:dyDescent="0.35">
      <c r="D20" s="18"/>
      <c r="E20" s="21" t="s">
        <v>32</v>
      </c>
      <c r="F20" s="7"/>
      <c r="G20" s="7">
        <f>G15/G16</f>
        <v>0.33333333333333331</v>
      </c>
    </row>
    <row r="22" spans="1:7" x14ac:dyDescent="0.35">
      <c r="A22" s="62" t="s">
        <v>34</v>
      </c>
      <c r="B22" s="62"/>
      <c r="C22" s="62"/>
      <c r="D22" s="62"/>
      <c r="E22" s="62"/>
      <c r="F22" s="62"/>
      <c r="G22" s="62"/>
    </row>
    <row r="23" spans="1:7" x14ac:dyDescent="0.35">
      <c r="A23" s="54"/>
      <c r="B23" s="55"/>
      <c r="C23" s="58" t="s">
        <v>35</v>
      </c>
      <c r="D23" s="61" t="s">
        <v>19</v>
      </c>
      <c r="E23" s="61"/>
      <c r="F23" s="61" t="s">
        <v>20</v>
      </c>
      <c r="G23" s="61"/>
    </row>
    <row r="24" spans="1:7" x14ac:dyDescent="0.35">
      <c r="A24" s="56"/>
      <c r="B24" s="57"/>
      <c r="C24" s="58"/>
      <c r="D24" s="9" t="s">
        <v>21</v>
      </c>
      <c r="E24" s="9" t="s">
        <v>22</v>
      </c>
      <c r="F24" s="9" t="s">
        <v>23</v>
      </c>
      <c r="G24" s="9" t="s">
        <v>24</v>
      </c>
    </row>
    <row r="25" spans="1:7" x14ac:dyDescent="0.35">
      <c r="A25" s="47" t="s">
        <v>25</v>
      </c>
      <c r="B25" s="47"/>
      <c r="C25" s="4"/>
      <c r="D25" s="6">
        <v>80000</v>
      </c>
      <c r="E25" s="6">
        <v>90000</v>
      </c>
      <c r="F25" s="6">
        <v>12000</v>
      </c>
      <c r="G25" s="6">
        <v>54000</v>
      </c>
    </row>
    <row r="26" spans="1:7" x14ac:dyDescent="0.35">
      <c r="A26" s="67" t="s">
        <v>36</v>
      </c>
      <c r="B26" s="67"/>
      <c r="C26" s="4"/>
      <c r="D26" s="6"/>
      <c r="E26" s="6"/>
      <c r="F26" s="6"/>
      <c r="G26" s="6"/>
    </row>
    <row r="27" spans="1:7" x14ac:dyDescent="0.35">
      <c r="A27" s="46" t="s">
        <v>37</v>
      </c>
      <c r="B27" s="46"/>
      <c r="C27" s="8">
        <f>F17</f>
        <v>0.8</v>
      </c>
      <c r="D27" s="6">
        <f>F25*C27</f>
        <v>9600</v>
      </c>
      <c r="E27" s="6"/>
      <c r="F27" s="6"/>
      <c r="G27" s="6"/>
    </row>
    <row r="28" spans="1:7" x14ac:dyDescent="0.35">
      <c r="A28" s="46" t="s">
        <v>38</v>
      </c>
      <c r="B28" s="46"/>
      <c r="C28" s="8">
        <f>F18</f>
        <v>0.2</v>
      </c>
      <c r="D28" s="6"/>
      <c r="E28" s="6">
        <f>F25*C28</f>
        <v>2400</v>
      </c>
      <c r="F28" s="6">
        <f>-(D27+E28)</f>
        <v>-12000</v>
      </c>
      <c r="G28" s="6"/>
    </row>
    <row r="29" spans="1:7" x14ac:dyDescent="0.35">
      <c r="A29" s="50" t="s">
        <v>39</v>
      </c>
      <c r="B29" s="50"/>
      <c r="C29" s="4"/>
      <c r="D29" s="6"/>
      <c r="E29" s="6"/>
      <c r="F29" s="6"/>
      <c r="G29" s="6"/>
    </row>
    <row r="30" spans="1:7" x14ac:dyDescent="0.35">
      <c r="A30" s="46" t="s">
        <v>37</v>
      </c>
      <c r="B30" s="46"/>
      <c r="C30" s="8">
        <f>G19</f>
        <v>0.66666666666666663</v>
      </c>
      <c r="D30" s="6">
        <f>G25*C30</f>
        <v>36000</v>
      </c>
      <c r="E30" s="6"/>
      <c r="F30" s="6"/>
      <c r="G30" s="6"/>
    </row>
    <row r="31" spans="1:7" x14ac:dyDescent="0.35">
      <c r="A31" s="46" t="s">
        <v>38</v>
      </c>
      <c r="B31" s="46"/>
      <c r="C31" s="8">
        <f>G20</f>
        <v>0.33333333333333331</v>
      </c>
      <c r="D31" s="6"/>
      <c r="E31" s="6">
        <f>G25*C31</f>
        <v>18000</v>
      </c>
      <c r="F31" s="6"/>
      <c r="G31" s="6">
        <f>-(D30+E31)</f>
        <v>-54000</v>
      </c>
    </row>
    <row r="32" spans="1:7" x14ac:dyDescent="0.35">
      <c r="A32" s="47" t="s">
        <v>40</v>
      </c>
      <c r="B32" s="47"/>
      <c r="C32" s="4"/>
      <c r="D32" s="10">
        <f>SUM(D25:D31)</f>
        <v>125600</v>
      </c>
      <c r="E32" s="10">
        <f>SUM(E25:E31)</f>
        <v>110400</v>
      </c>
      <c r="F32" s="10">
        <f t="shared" ref="F32:G32" si="0">SUM(F25:F31)</f>
        <v>0</v>
      </c>
      <c r="G32" s="10">
        <f t="shared" si="0"/>
        <v>0</v>
      </c>
    </row>
    <row r="36" spans="1:7" x14ac:dyDescent="0.35">
      <c r="A36" s="64" t="s">
        <v>41</v>
      </c>
      <c r="B36" s="64"/>
      <c r="C36" s="64"/>
      <c r="D36" s="64"/>
      <c r="E36" s="64"/>
      <c r="F36" s="64"/>
      <c r="G36" s="64"/>
    </row>
    <row r="37" spans="1:7" x14ac:dyDescent="0.35">
      <c r="A37" s="54"/>
      <c r="B37" s="65"/>
      <c r="C37" s="55"/>
      <c r="D37" s="61" t="s">
        <v>19</v>
      </c>
      <c r="E37" s="61"/>
      <c r="F37" s="61" t="s">
        <v>20</v>
      </c>
      <c r="G37" s="61"/>
    </row>
    <row r="38" spans="1:7" x14ac:dyDescent="0.35">
      <c r="A38" s="56"/>
      <c r="B38" s="66"/>
      <c r="C38" s="57"/>
      <c r="D38" s="9" t="s">
        <v>21</v>
      </c>
      <c r="E38" s="9" t="s">
        <v>22</v>
      </c>
      <c r="F38" s="9" t="s">
        <v>23</v>
      </c>
      <c r="G38" s="9" t="s">
        <v>24</v>
      </c>
    </row>
    <row r="39" spans="1:7" x14ac:dyDescent="0.35">
      <c r="A39" s="47" t="s">
        <v>25</v>
      </c>
      <c r="B39" s="47"/>
      <c r="C39" s="47"/>
      <c r="D39" s="3">
        <v>80000</v>
      </c>
      <c r="E39" s="3">
        <v>90000</v>
      </c>
      <c r="F39" s="3">
        <v>12000</v>
      </c>
      <c r="G39" s="3">
        <v>54000</v>
      </c>
    </row>
    <row r="40" spans="1:7" x14ac:dyDescent="0.35">
      <c r="A40" s="47" t="s">
        <v>26</v>
      </c>
      <c r="B40" s="47"/>
      <c r="C40" s="47"/>
      <c r="D40" s="2"/>
      <c r="E40" s="2"/>
      <c r="F40" s="2"/>
      <c r="G40" s="2"/>
    </row>
    <row r="41" spans="1:7" x14ac:dyDescent="0.35">
      <c r="A41" s="47" t="s">
        <v>27</v>
      </c>
      <c r="B41" s="47"/>
      <c r="C41" s="47"/>
      <c r="D41" s="2">
        <v>800</v>
      </c>
      <c r="E41" s="2">
        <v>200</v>
      </c>
      <c r="F41" s="2">
        <v>0</v>
      </c>
      <c r="G41" s="2">
        <v>400</v>
      </c>
    </row>
    <row r="42" spans="1:7" x14ac:dyDescent="0.35">
      <c r="A42" s="47" t="s">
        <v>28</v>
      </c>
      <c r="B42" s="47"/>
      <c r="C42" s="47"/>
      <c r="D42" s="2">
        <v>800</v>
      </c>
      <c r="E42" s="2">
        <v>400</v>
      </c>
      <c r="F42" s="2">
        <v>400</v>
      </c>
      <c r="G42" s="2">
        <v>0</v>
      </c>
    </row>
    <row r="44" spans="1:7" x14ac:dyDescent="0.35">
      <c r="A44" s="62" t="s">
        <v>29</v>
      </c>
      <c r="B44" s="62"/>
      <c r="C44" s="62"/>
      <c r="D44" s="62"/>
      <c r="E44" s="62"/>
      <c r="F44" s="62"/>
      <c r="G44" s="62"/>
    </row>
    <row r="46" spans="1:7" x14ac:dyDescent="0.35">
      <c r="D46" s="18"/>
      <c r="E46" s="18"/>
      <c r="F46" s="63" t="s">
        <v>20</v>
      </c>
      <c r="G46" s="63"/>
    </row>
    <row r="47" spans="1:7" x14ac:dyDescent="0.35">
      <c r="D47" s="18"/>
      <c r="E47" s="18"/>
      <c r="F47" s="19" t="s">
        <v>24</v>
      </c>
      <c r="G47" s="19" t="s">
        <v>23</v>
      </c>
    </row>
    <row r="48" spans="1:7" x14ac:dyDescent="0.35">
      <c r="D48" s="52" t="s">
        <v>19</v>
      </c>
      <c r="E48" s="19" t="s">
        <v>21</v>
      </c>
      <c r="F48" s="18">
        <v>800</v>
      </c>
      <c r="G48" s="18">
        <v>800</v>
      </c>
    </row>
    <row r="49" spans="1:7" x14ac:dyDescent="0.35">
      <c r="D49" s="52"/>
      <c r="E49" s="19" t="s">
        <v>22</v>
      </c>
      <c r="F49" s="18">
        <v>400</v>
      </c>
      <c r="G49" s="18">
        <v>200</v>
      </c>
    </row>
    <row r="50" spans="1:7" x14ac:dyDescent="0.35">
      <c r="D50" s="22" t="s">
        <v>20</v>
      </c>
      <c r="E50" s="19" t="s">
        <v>23</v>
      </c>
      <c r="F50" s="18">
        <v>400</v>
      </c>
      <c r="G50" s="18">
        <v>0</v>
      </c>
    </row>
    <row r="51" spans="1:7" x14ac:dyDescent="0.35">
      <c r="F51" s="18">
        <f>SUM(F48:F50)</f>
        <v>1600</v>
      </c>
      <c r="G51" s="18">
        <f>SUM(G48:G50)</f>
        <v>1000</v>
      </c>
    </row>
    <row r="52" spans="1:7" x14ac:dyDescent="0.35">
      <c r="E52" s="21" t="s">
        <v>33</v>
      </c>
      <c r="F52" s="7">
        <f>F48/F51</f>
        <v>0.5</v>
      </c>
      <c r="G52" s="7"/>
    </row>
    <row r="53" spans="1:7" x14ac:dyDescent="0.35">
      <c r="E53" s="21" t="s">
        <v>32</v>
      </c>
      <c r="F53" s="7">
        <f>F49/F51</f>
        <v>0.25</v>
      </c>
      <c r="G53" s="7"/>
    </row>
    <row r="54" spans="1:7" x14ac:dyDescent="0.35">
      <c r="E54" s="21" t="s">
        <v>61</v>
      </c>
      <c r="F54" s="7">
        <f>F50/F51</f>
        <v>0.25</v>
      </c>
      <c r="G54" s="7"/>
    </row>
    <row r="55" spans="1:7" x14ac:dyDescent="0.35">
      <c r="E55" s="27" t="s">
        <v>31</v>
      </c>
      <c r="F55" s="7"/>
      <c r="G55" s="7">
        <f>G48/G51</f>
        <v>0.8</v>
      </c>
    </row>
    <row r="56" spans="1:7" x14ac:dyDescent="0.35">
      <c r="E56" s="27" t="s">
        <v>30</v>
      </c>
      <c r="F56" s="7"/>
      <c r="G56" s="7">
        <f>G49/G51</f>
        <v>0.2</v>
      </c>
    </row>
    <row r="58" spans="1:7" x14ac:dyDescent="0.35">
      <c r="A58" s="53" t="s">
        <v>34</v>
      </c>
      <c r="B58" s="53"/>
      <c r="C58" s="53"/>
      <c r="D58" s="53"/>
      <c r="E58" s="53"/>
      <c r="F58" s="53"/>
      <c r="G58" s="53"/>
    </row>
    <row r="59" spans="1:7" x14ac:dyDescent="0.35">
      <c r="A59" s="54"/>
      <c r="B59" s="55"/>
      <c r="C59" s="58" t="s">
        <v>35</v>
      </c>
      <c r="D59" s="59" t="s">
        <v>19</v>
      </c>
      <c r="E59" s="60"/>
      <c r="F59" s="61" t="s">
        <v>20</v>
      </c>
      <c r="G59" s="61"/>
    </row>
    <row r="60" spans="1:7" x14ac:dyDescent="0.35">
      <c r="A60" s="56"/>
      <c r="B60" s="57"/>
      <c r="C60" s="58"/>
      <c r="D60" s="9" t="s">
        <v>21</v>
      </c>
      <c r="E60" s="9" t="s">
        <v>22</v>
      </c>
      <c r="F60" s="9" t="s">
        <v>24</v>
      </c>
      <c r="G60" s="9" t="s">
        <v>23</v>
      </c>
    </row>
    <row r="61" spans="1:7" x14ac:dyDescent="0.35">
      <c r="A61" s="47" t="s">
        <v>25</v>
      </c>
      <c r="B61" s="47"/>
      <c r="C61" s="4"/>
      <c r="D61" s="6">
        <v>80000</v>
      </c>
      <c r="E61" s="6">
        <v>90000</v>
      </c>
      <c r="F61" s="6">
        <v>54000</v>
      </c>
      <c r="G61" s="6">
        <v>12000</v>
      </c>
    </row>
    <row r="62" spans="1:7" x14ac:dyDescent="0.35">
      <c r="A62" s="50" t="s">
        <v>39</v>
      </c>
      <c r="B62" s="50"/>
      <c r="C62" s="4"/>
      <c r="D62" s="6"/>
      <c r="E62" s="6"/>
      <c r="F62" s="6"/>
      <c r="G62" s="6"/>
    </row>
    <row r="63" spans="1:7" x14ac:dyDescent="0.35">
      <c r="A63" s="46" t="s">
        <v>37</v>
      </c>
      <c r="B63" s="46"/>
      <c r="C63" s="8">
        <f>F52</f>
        <v>0.5</v>
      </c>
      <c r="D63" s="6">
        <f>F61*C63</f>
        <v>27000</v>
      </c>
      <c r="E63" s="6"/>
      <c r="F63" s="6"/>
      <c r="G63" s="6"/>
    </row>
    <row r="64" spans="1:7" x14ac:dyDescent="0.35">
      <c r="A64" s="46" t="s">
        <v>38</v>
      </c>
      <c r="B64" s="46"/>
      <c r="C64" s="8">
        <f>F53</f>
        <v>0.25</v>
      </c>
      <c r="D64" s="6"/>
      <c r="E64" s="6">
        <f>F61*C64</f>
        <v>13500</v>
      </c>
      <c r="F64" s="6"/>
      <c r="G64" s="6"/>
    </row>
    <row r="65" spans="1:8" x14ac:dyDescent="0.35">
      <c r="A65" s="48" t="s">
        <v>39</v>
      </c>
      <c r="B65" s="49"/>
      <c r="C65" s="8">
        <f>F54</f>
        <v>0.25</v>
      </c>
      <c r="D65" s="6"/>
      <c r="E65" s="6"/>
      <c r="F65" s="6">
        <f>-(D63+E64+G65)</f>
        <v>-54000</v>
      </c>
      <c r="G65" s="6">
        <f>F61*C65</f>
        <v>13500</v>
      </c>
    </row>
    <row r="66" spans="1:8" x14ac:dyDescent="0.35">
      <c r="A66" s="51" t="s">
        <v>36</v>
      </c>
      <c r="B66" s="51"/>
      <c r="C66" s="4"/>
      <c r="D66" s="6"/>
      <c r="E66" s="6"/>
      <c r="F66" s="6"/>
      <c r="G66" s="6"/>
      <c r="H66" s="1">
        <f>G61+G65</f>
        <v>25500</v>
      </c>
    </row>
    <row r="67" spans="1:8" x14ac:dyDescent="0.35">
      <c r="A67" s="46" t="s">
        <v>37</v>
      </c>
      <c r="B67" s="46"/>
      <c r="C67" s="8">
        <f>G55</f>
        <v>0.8</v>
      </c>
      <c r="D67" s="6">
        <f>H66*C67</f>
        <v>20400</v>
      </c>
      <c r="E67" s="6"/>
      <c r="F67" s="6"/>
      <c r="G67" s="6"/>
    </row>
    <row r="68" spans="1:8" x14ac:dyDescent="0.35">
      <c r="A68" s="46" t="s">
        <v>38</v>
      </c>
      <c r="B68" s="46"/>
      <c r="C68" s="8">
        <f>G56</f>
        <v>0.2</v>
      </c>
      <c r="D68" s="6"/>
      <c r="E68" s="6">
        <f>H66*C68</f>
        <v>5100</v>
      </c>
      <c r="F68" s="6"/>
      <c r="G68" s="6">
        <f>-(D67+E68)</f>
        <v>-25500</v>
      </c>
    </row>
    <row r="69" spans="1:8" x14ac:dyDescent="0.35">
      <c r="A69" s="47" t="s">
        <v>40</v>
      </c>
      <c r="B69" s="47"/>
      <c r="C69" s="4"/>
      <c r="D69" s="10">
        <f>SUM(D61:D68)</f>
        <v>127400</v>
      </c>
      <c r="E69" s="10">
        <f>SUM(E61:E68)</f>
        <v>108600</v>
      </c>
      <c r="F69" s="10">
        <f t="shared" ref="F69:G69" si="1">SUM(F61:F68)</f>
        <v>0</v>
      </c>
      <c r="G69" s="10">
        <f t="shared" si="1"/>
        <v>0</v>
      </c>
    </row>
  </sheetData>
  <mergeCells count="49">
    <mergeCell ref="F23:G23"/>
    <mergeCell ref="A23:B24"/>
    <mergeCell ref="A25:B25"/>
    <mergeCell ref="A28:B28"/>
    <mergeCell ref="A29:B29"/>
    <mergeCell ref="A30:B30"/>
    <mergeCell ref="C23:C24"/>
    <mergeCell ref="D23:E23"/>
    <mergeCell ref="A31:B31"/>
    <mergeCell ref="A32:B32"/>
    <mergeCell ref="A26:B26"/>
    <mergeCell ref="A27:B27"/>
    <mergeCell ref="A2:G2"/>
    <mergeCell ref="D14:D15"/>
    <mergeCell ref="F12:G12"/>
    <mergeCell ref="A10:G10"/>
    <mergeCell ref="A22:G22"/>
    <mergeCell ref="A5:C5"/>
    <mergeCell ref="A6:C6"/>
    <mergeCell ref="A7:C7"/>
    <mergeCell ref="A8:C8"/>
    <mergeCell ref="D3:E3"/>
    <mergeCell ref="F3:G3"/>
    <mergeCell ref="A3:C4"/>
    <mergeCell ref="A36:G36"/>
    <mergeCell ref="A37:C38"/>
    <mergeCell ref="D37:E37"/>
    <mergeCell ref="F37:G37"/>
    <mergeCell ref="A39:C39"/>
    <mergeCell ref="A40:C40"/>
    <mergeCell ref="A41:C41"/>
    <mergeCell ref="A42:C42"/>
    <mergeCell ref="A44:G44"/>
    <mergeCell ref="F46:G46"/>
    <mergeCell ref="D48:D49"/>
    <mergeCell ref="A58:G58"/>
    <mergeCell ref="A59:B60"/>
    <mergeCell ref="C59:C60"/>
    <mergeCell ref="D59:E59"/>
    <mergeCell ref="F59:G59"/>
    <mergeCell ref="A67:B67"/>
    <mergeCell ref="A68:B68"/>
    <mergeCell ref="A69:B69"/>
    <mergeCell ref="A65:B65"/>
    <mergeCell ref="A61:B61"/>
    <mergeCell ref="A62:B62"/>
    <mergeCell ref="A63:B63"/>
    <mergeCell ref="A64:B64"/>
    <mergeCell ref="A66:B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EBD2-05D3-48CD-8006-AD690C61EBBC}">
  <dimension ref="A2:G34"/>
  <sheetViews>
    <sheetView zoomScale="82" zoomScaleNormal="100" workbookViewId="0">
      <selection activeCell="B28" sqref="B28"/>
    </sheetView>
  </sheetViews>
  <sheetFormatPr defaultRowHeight="14.5" x14ac:dyDescent="0.35"/>
  <cols>
    <col min="1" max="1" width="24" customWidth="1"/>
    <col min="2" max="2" width="17.1796875" customWidth="1"/>
    <col min="3" max="3" width="18.08984375" customWidth="1"/>
    <col min="4" max="4" width="17.453125" customWidth="1"/>
    <col min="5" max="5" width="2.26953125" customWidth="1"/>
    <col min="6" max="6" width="15.453125" customWidth="1"/>
  </cols>
  <sheetData>
    <row r="2" spans="1:7" x14ac:dyDescent="0.35">
      <c r="A2" s="68" t="s">
        <v>59</v>
      </c>
      <c r="B2" s="68"/>
      <c r="C2" s="68"/>
      <c r="D2" s="68"/>
      <c r="E2" s="68"/>
      <c r="F2" s="68"/>
      <c r="G2" s="68"/>
    </row>
    <row r="3" spans="1:7" x14ac:dyDescent="0.35">
      <c r="A3" s="25" t="s">
        <v>45</v>
      </c>
      <c r="C3" s="25" t="s">
        <v>47</v>
      </c>
      <c r="D3" s="23" t="s">
        <v>46</v>
      </c>
      <c r="E3" t="s">
        <v>49</v>
      </c>
      <c r="F3" s="24">
        <f>B7</f>
        <v>1500000</v>
      </c>
      <c r="G3" s="26">
        <f>F3/F4</f>
        <v>30</v>
      </c>
    </row>
    <row r="4" spans="1:7" x14ac:dyDescent="0.35">
      <c r="A4" t="s">
        <v>42</v>
      </c>
      <c r="B4" s="1">
        <v>250000</v>
      </c>
      <c r="D4" t="s">
        <v>48</v>
      </c>
      <c r="F4">
        <v>50000</v>
      </c>
    </row>
    <row r="5" spans="1:7" x14ac:dyDescent="0.35">
      <c r="A5" t="s">
        <v>43</v>
      </c>
      <c r="B5" s="1">
        <v>350000</v>
      </c>
    </row>
    <row r="6" spans="1:7" x14ac:dyDescent="0.35">
      <c r="A6" t="s">
        <v>44</v>
      </c>
      <c r="B6" s="24">
        <v>900000</v>
      </c>
    </row>
    <row r="7" spans="1:7" x14ac:dyDescent="0.35">
      <c r="A7" s="25" t="s">
        <v>46</v>
      </c>
      <c r="B7" s="26">
        <f>SUM(B4:B6)</f>
        <v>1500000</v>
      </c>
    </row>
    <row r="8" spans="1:7" x14ac:dyDescent="0.35">
      <c r="B8" s="1"/>
    </row>
    <row r="9" spans="1:7" x14ac:dyDescent="0.35">
      <c r="A9" s="27" t="s">
        <v>50</v>
      </c>
      <c r="B9" s="27" t="s">
        <v>51</v>
      </c>
      <c r="C9" s="27" t="s">
        <v>52</v>
      </c>
      <c r="D9" s="27" t="s">
        <v>4</v>
      </c>
    </row>
    <row r="10" spans="1:7" x14ac:dyDescent="0.35">
      <c r="A10" s="2" t="s">
        <v>53</v>
      </c>
      <c r="B10" s="3">
        <f>200*500</f>
        <v>100000</v>
      </c>
      <c r="C10" s="3">
        <f>20*15500</f>
        <v>310000</v>
      </c>
      <c r="D10" s="3">
        <f>SUM(B10:C10)</f>
        <v>410000</v>
      </c>
    </row>
    <row r="11" spans="1:7" x14ac:dyDescent="0.35">
      <c r="A11" s="2" t="s">
        <v>54</v>
      </c>
      <c r="B11" s="3">
        <v>50000</v>
      </c>
      <c r="C11" s="3">
        <v>350000</v>
      </c>
      <c r="D11" s="3">
        <f>SUM(B11:C11)</f>
        <v>400000</v>
      </c>
    </row>
    <row r="12" spans="1:7" ht="15" thickBot="1" x14ac:dyDescent="0.4">
      <c r="A12" s="30" t="s">
        <v>45</v>
      </c>
      <c r="B12" s="31">
        <f>G3*3000</f>
        <v>90000</v>
      </c>
      <c r="C12" s="31">
        <f>G3*47000</f>
        <v>1410000</v>
      </c>
      <c r="D12" s="31">
        <f>SUM(B12:C12)</f>
        <v>1500000</v>
      </c>
    </row>
    <row r="13" spans="1:7" x14ac:dyDescent="0.35">
      <c r="A13" s="28" t="s">
        <v>55</v>
      </c>
      <c r="B13" s="29">
        <f>SUM(B10:B12)</f>
        <v>240000</v>
      </c>
      <c r="C13" s="29">
        <f t="shared" ref="C13:D13" si="0">SUM(C10:C12)</f>
        <v>2070000</v>
      </c>
      <c r="D13" s="29">
        <f t="shared" si="0"/>
        <v>2310000</v>
      </c>
    </row>
    <row r="14" spans="1:7" ht="15" thickBot="1" x14ac:dyDescent="0.4">
      <c r="A14" s="30" t="s">
        <v>56</v>
      </c>
      <c r="B14" s="42">
        <v>500</v>
      </c>
      <c r="C14" s="42">
        <v>15500</v>
      </c>
      <c r="D14" s="31"/>
    </row>
    <row r="15" spans="1:7" ht="15" thickBot="1" x14ac:dyDescent="0.4">
      <c r="A15" s="32" t="s">
        <v>57</v>
      </c>
      <c r="B15" s="33">
        <f>B13/B14</f>
        <v>480</v>
      </c>
      <c r="C15" s="35">
        <f>C13/C14</f>
        <v>133.54838709677421</v>
      </c>
      <c r="D15" s="34"/>
    </row>
    <row r="16" spans="1:7" ht="15" thickTop="1" x14ac:dyDescent="0.35"/>
    <row r="17" spans="1:7" x14ac:dyDescent="0.35">
      <c r="A17" s="68" t="s">
        <v>60</v>
      </c>
      <c r="B17" s="68"/>
      <c r="C17" s="68"/>
      <c r="D17" s="68"/>
      <c r="E17" s="68"/>
      <c r="F17" s="68"/>
      <c r="G17" s="68"/>
    </row>
    <row r="19" spans="1:7" x14ac:dyDescent="0.35">
      <c r="A19" s="27" t="s">
        <v>50</v>
      </c>
      <c r="B19" s="27" t="s">
        <v>45</v>
      </c>
      <c r="C19" s="27" t="s">
        <v>58</v>
      </c>
      <c r="D19" s="27" t="s">
        <v>47</v>
      </c>
    </row>
    <row r="20" spans="1:7" x14ac:dyDescent="0.35">
      <c r="A20" s="2" t="s">
        <v>42</v>
      </c>
      <c r="B20" s="3">
        <v>250000</v>
      </c>
      <c r="C20" s="43">
        <v>200</v>
      </c>
      <c r="D20" s="3">
        <f>B20/C20</f>
        <v>1250</v>
      </c>
    </row>
    <row r="21" spans="1:7" x14ac:dyDescent="0.35">
      <c r="A21" s="2" t="s">
        <v>43</v>
      </c>
      <c r="B21" s="3">
        <v>350000</v>
      </c>
      <c r="C21" s="43">
        <v>10000</v>
      </c>
      <c r="D21" s="3">
        <f>B21/C21</f>
        <v>35</v>
      </c>
    </row>
    <row r="22" spans="1:7" x14ac:dyDescent="0.35">
      <c r="A22" s="2" t="s">
        <v>44</v>
      </c>
      <c r="B22" s="3">
        <v>900000</v>
      </c>
      <c r="C22" s="43">
        <v>50000</v>
      </c>
      <c r="D22" s="3">
        <f>B22/C22</f>
        <v>18</v>
      </c>
    </row>
    <row r="24" spans="1:7" x14ac:dyDescent="0.35">
      <c r="A24" s="27" t="s">
        <v>50</v>
      </c>
      <c r="B24" s="27" t="s">
        <v>51</v>
      </c>
      <c r="C24" s="27" t="s">
        <v>52</v>
      </c>
      <c r="D24" s="27" t="s">
        <v>4</v>
      </c>
    </row>
    <row r="25" spans="1:7" x14ac:dyDescent="0.35">
      <c r="A25" s="2" t="s">
        <v>53</v>
      </c>
      <c r="B25" s="3">
        <f>200*500</f>
        <v>100000</v>
      </c>
      <c r="C25" s="3">
        <f>20*15500</f>
        <v>310000</v>
      </c>
      <c r="D25" s="3">
        <f>SUM(B25:C25)</f>
        <v>410000</v>
      </c>
    </row>
    <row r="26" spans="1:7" x14ac:dyDescent="0.35">
      <c r="A26" s="2" t="s">
        <v>54</v>
      </c>
      <c r="B26" s="3">
        <v>50000</v>
      </c>
      <c r="C26" s="3">
        <v>350000</v>
      </c>
      <c r="D26" s="3">
        <f>SUM(B26:C26)</f>
        <v>400000</v>
      </c>
    </row>
    <row r="27" spans="1:7" x14ac:dyDescent="0.35">
      <c r="A27" s="2" t="s">
        <v>45</v>
      </c>
      <c r="B27" s="2"/>
      <c r="C27" s="2"/>
      <c r="D27" s="3">
        <f t="shared" ref="D27:D29" si="1">SUM(B27:C27)</f>
        <v>0</v>
      </c>
    </row>
    <row r="28" spans="1:7" x14ac:dyDescent="0.35">
      <c r="A28" s="36" t="s">
        <v>42</v>
      </c>
      <c r="B28" s="3">
        <f>D20*120</f>
        <v>150000</v>
      </c>
      <c r="C28" s="3">
        <f>D20*80</f>
        <v>100000</v>
      </c>
      <c r="D28" s="3">
        <f t="shared" si="1"/>
        <v>250000</v>
      </c>
    </row>
    <row r="29" spans="1:7" x14ac:dyDescent="0.35">
      <c r="A29" s="36" t="s">
        <v>43</v>
      </c>
      <c r="B29" s="3">
        <f>D21*6000</f>
        <v>210000</v>
      </c>
      <c r="C29" s="3">
        <f>D21*4000</f>
        <v>140000</v>
      </c>
      <c r="D29" s="3">
        <f t="shared" si="1"/>
        <v>350000</v>
      </c>
    </row>
    <row r="30" spans="1:7" ht="15" thickBot="1" x14ac:dyDescent="0.4">
      <c r="A30" s="38" t="s">
        <v>44</v>
      </c>
      <c r="B30" s="31">
        <f>D22*3000</f>
        <v>54000</v>
      </c>
      <c r="C30" s="31">
        <f>D22*47000</f>
        <v>846000</v>
      </c>
      <c r="D30" s="3">
        <f>SUM(B30:C30)</f>
        <v>900000</v>
      </c>
    </row>
    <row r="31" spans="1:7" x14ac:dyDescent="0.35">
      <c r="A31" s="37" t="s">
        <v>55</v>
      </c>
      <c r="B31" s="29">
        <f>SUM(B25:B30)</f>
        <v>564000</v>
      </c>
      <c r="C31" s="29">
        <f>SUM(C25:C30)</f>
        <v>1746000</v>
      </c>
      <c r="D31" s="29">
        <f>B31+C31</f>
        <v>2310000</v>
      </c>
    </row>
    <row r="32" spans="1:7" x14ac:dyDescent="0.35">
      <c r="A32" s="2" t="s">
        <v>56</v>
      </c>
      <c r="B32" s="43">
        <v>500</v>
      </c>
      <c r="C32" s="43">
        <v>15500</v>
      </c>
      <c r="D32" s="2"/>
    </row>
    <row r="33" spans="1:4" ht="15" thickBot="1" x14ac:dyDescent="0.4">
      <c r="A33" s="39" t="s">
        <v>57</v>
      </c>
      <c r="B33" s="40">
        <f>B31/B32</f>
        <v>1128</v>
      </c>
      <c r="C33" s="41">
        <f>C31/C32</f>
        <v>112.64516129032258</v>
      </c>
      <c r="D33" s="39"/>
    </row>
    <row r="34" spans="1:4" ht="15" thickTop="1" x14ac:dyDescent="0.35"/>
  </sheetData>
  <mergeCells count="2">
    <mergeCell ref="A2:G2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Putri</dc:creator>
  <cp:lastModifiedBy>Devi Putri</cp:lastModifiedBy>
  <dcterms:created xsi:type="dcterms:W3CDTF">2025-06-24T01:29:56Z</dcterms:created>
  <dcterms:modified xsi:type="dcterms:W3CDTF">2025-06-24T22:58:18Z</dcterms:modified>
</cp:coreProperties>
</file>